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vy/Documents/Trellis/in-pipe-electronics-software/MotorDriverBreakout/"/>
    </mc:Choice>
  </mc:AlternateContent>
  <xr:revisionPtr revIDLastSave="0" documentId="13_ncr:1_{CED92B58-7612-0247-A7C0-ABE320942A80}" xr6:coauthVersionLast="47" xr6:coauthVersionMax="47" xr10:uidLastSave="{00000000-0000-0000-0000-000000000000}"/>
  <bookViews>
    <workbookView xWindow="0" yWindow="680" windowWidth="29400" windowHeight="18440" xr2:uid="{1072E8A8-AAA4-AA45-98F8-2595D94DAB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3" i="1"/>
  <c r="D4" i="1"/>
  <c r="D5" i="1"/>
  <c r="D6" i="1"/>
  <c r="D2" i="1"/>
</calcChain>
</file>

<file path=xl/sharedStrings.xml><?xml version="1.0" encoding="utf-8"?>
<sst xmlns="http://schemas.openxmlformats.org/spreadsheetml/2006/main" count="35" uniqueCount="34">
  <si>
    <t>Component</t>
  </si>
  <si>
    <t>Quantity</t>
  </si>
  <si>
    <t>Unit Price</t>
  </si>
  <si>
    <t>Total Price</t>
  </si>
  <si>
    <t>Part Number (Digikey)</t>
  </si>
  <si>
    <t>Notes</t>
  </si>
  <si>
    <t>Link</t>
  </si>
  <si>
    <t>Datasheet</t>
  </si>
  <si>
    <t>TI DRV8234 Motor Driver</t>
  </si>
  <si>
    <t>MCP4725A0 DAC</t>
  </si>
  <si>
    <t>MCP4725A1 DAC</t>
  </si>
  <si>
    <t>Specific MCP4725 part doesn't matter, as long as at least one of them has a different suffix (address reasons)</t>
  </si>
  <si>
    <t>INA219 Current/Power Monitor</t>
  </si>
  <si>
    <t>TI TPSM33625 Buck</t>
  </si>
  <si>
    <t>https://www.digikey.com/en/products/detail/texas-instruments/DRV8234RTER/22147183</t>
  </si>
  <si>
    <t xml:space="preserve">296-DRV8234RTERTR-ND </t>
  </si>
  <si>
    <t>https://www.ti.com/lit/ds/symlink/drv8234.pdf</t>
  </si>
  <si>
    <t>https://ww1.microchip.com/downloads/aemDocuments/documents/MSLD/ProductDocuments/DataSheets/MCP4725-Data-Sheet-20002039E.pdf</t>
  </si>
  <si>
    <t>https://www.digikey.com/en/products/detail/microchip-technology/MCP4725A0T-E-CH/1818537</t>
  </si>
  <si>
    <t>MCP4725A0T-E/CHTR-ND</t>
  </si>
  <si>
    <t>https://www.digikey.com/en/products/detail/microchip-technology/MCP4725A1T-E-CH/1827895?s=N4IgTCBcDaILIGEAKAWA7GArAQQIwgF0BfIA</t>
  </si>
  <si>
    <t>MCP4725A1T-E/CHTR-ND</t>
  </si>
  <si>
    <t>https://www.ti.com/lit/ds/symlink/ina219.pdf?ts=1766429459391&amp;ref_url=https%253A%252F%252Fwww.google.com%252F</t>
  </si>
  <si>
    <t>296-27898-2-ND</t>
  </si>
  <si>
    <t>https://www.digikey.com/en/products/detail/texas-instruments/INA219BIDCNT/2426056</t>
  </si>
  <si>
    <t>https://www.digikey.com/en/products/detail/texas-instruments/TPSM33625RDNR/17395211</t>
  </si>
  <si>
    <t>296-TPSM33625RDNRTR-ND</t>
  </si>
  <si>
    <t>Estimated stock date (1-7)</t>
  </si>
  <si>
    <t>https://www.ti.com/lit/ds/symlink/tpsm33625.pdf</t>
  </si>
  <si>
    <t>JST SH 4 position 1 mm pitch connector</t>
  </si>
  <si>
    <t>1528-4208-ND</t>
  </si>
  <si>
    <t>This might be a 10 pack (listed on Adafruit, but not sure)</t>
  </si>
  <si>
    <t>https://www.digikey.com/en/products/detail/adafruit-industries-llc/4208/10230005</t>
  </si>
  <si>
    <t>https://cdn-shop.adafruit.com/product-files/4208/4208_Kaweei_C13396_diagram.pdf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</si>
</sst>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digikey.com/en/products/detail/texas-instruments/TPSM33625RDNR/17395211" TargetMode="External"/><Relationship Id="rId1" Type="http://schemas.openxmlformats.org/officeDocument/2006/relationships/hyperlink" Target="https://www.digikey.com/en/products/detail/texas-instruments/DRV8234RTER/221471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6324C-B691-594D-AFA2-B412E6A3CB5D}">
  <dimension ref="A1:H7"/>
  <sheetViews>
    <sheetView tabSelected="1" topLeftCell="B1" zoomScale="150" zoomScaleNormal="150" workbookViewId="0">
      <selection activeCell="D16" sqref="D16"/>
    </sheetView>
  </sheetViews>
  <sheetFormatPr baseColWidth="10" defaultRowHeight="16" x14ac:dyDescent="0.2"/>
  <cols>
    <col min="1" max="1" width="25.33203125" customWidth="1"/>
    <col min="2" max="2" width="24.33203125" customWidth="1"/>
    <col min="3" max="3" width="26.33203125" customWidth="1"/>
    <col min="4" max="4" width="19" customWidth="1"/>
    <col min="5" max="5" width="26.33203125" customWidth="1"/>
    <col min="6" max="6" width="18" customWidth="1"/>
    <col min="7" max="7" width="22.33203125" customWidth="1"/>
    <col min="8" max="8" width="19.1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3</v>
      </c>
      <c r="C2">
        <v>4.0599999999999996</v>
      </c>
      <c r="D2">
        <f>B2*C2</f>
        <v>12.18</v>
      </c>
      <c r="E2" t="s">
        <v>15</v>
      </c>
      <c r="G2" s="1" t="s">
        <v>14</v>
      </c>
      <c r="H2" t="s">
        <v>16</v>
      </c>
    </row>
    <row r="3" spans="1:8" x14ac:dyDescent="0.2">
      <c r="A3" t="s">
        <v>9</v>
      </c>
      <c r="B3">
        <v>2</v>
      </c>
      <c r="C3">
        <v>1.27</v>
      </c>
      <c r="D3">
        <f t="shared" ref="D3:D7" si="0">B3*C3</f>
        <v>2.54</v>
      </c>
      <c r="E3" t="s">
        <v>19</v>
      </c>
      <c r="G3" t="s">
        <v>18</v>
      </c>
      <c r="H3" t="s">
        <v>17</v>
      </c>
    </row>
    <row r="4" spans="1:8" x14ac:dyDescent="0.2">
      <c r="A4" t="s">
        <v>10</v>
      </c>
      <c r="B4">
        <v>1</v>
      </c>
      <c r="C4">
        <v>1.27</v>
      </c>
      <c r="D4">
        <f t="shared" si="0"/>
        <v>1.27</v>
      </c>
      <c r="E4" t="s">
        <v>21</v>
      </c>
      <c r="F4" t="s">
        <v>11</v>
      </c>
      <c r="G4" t="s">
        <v>20</v>
      </c>
      <c r="H4" t="s">
        <v>17</v>
      </c>
    </row>
    <row r="5" spans="1:8" x14ac:dyDescent="0.2">
      <c r="A5" t="s">
        <v>12</v>
      </c>
      <c r="B5">
        <v>1</v>
      </c>
      <c r="C5">
        <v>2.9</v>
      </c>
      <c r="D5">
        <f t="shared" si="0"/>
        <v>2.9</v>
      </c>
      <c r="E5" t="s">
        <v>23</v>
      </c>
      <c r="G5" t="s">
        <v>24</v>
      </c>
      <c r="H5" t="s">
        <v>22</v>
      </c>
    </row>
    <row r="6" spans="1:8" x14ac:dyDescent="0.2">
      <c r="A6" t="s">
        <v>13</v>
      </c>
      <c r="B6">
        <v>3</v>
      </c>
      <c r="C6">
        <v>4.03</v>
      </c>
      <c r="D6">
        <f t="shared" si="0"/>
        <v>12.09</v>
      </c>
      <c r="E6" t="s">
        <v>26</v>
      </c>
      <c r="F6" t="s">
        <v>27</v>
      </c>
      <c r="G6" s="1" t="s">
        <v>25</v>
      </c>
      <c r="H6" t="s">
        <v>28</v>
      </c>
    </row>
    <row r="7" spans="1:8" x14ac:dyDescent="0.2">
      <c r="A7" t="s">
        <v>29</v>
      </c>
      <c r="B7">
        <v>2</v>
      </c>
      <c r="C7">
        <v>3.95</v>
      </c>
      <c r="D7">
        <f t="shared" si="0"/>
        <v>7.9</v>
      </c>
      <c r="E7" t="s">
        <v>30</v>
      </c>
      <c r="F7" t="s">
        <v>31</v>
      </c>
      <c r="G7" t="s">
        <v>32</v>
      </c>
      <c r="H7" t="s">
        <v>33</v>
      </c>
    </row>
  </sheetData>
  <hyperlinks>
    <hyperlink ref="G2" r:id="rId1" xr:uid="{5D534942-6061-F44F-8A52-A8B78C410E38}"/>
    <hyperlink ref="G6" r:id="rId2" xr:uid="{D2A0D191-78DB-754B-961E-D7705A5B737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Elvy Yao</dc:creator>
  <cp:lastModifiedBy>Elvy Yao</cp:lastModifiedBy>
  <dcterms:created xsi:type="dcterms:W3CDTF">2025-12-22T18:48:00Z</dcterms:created>
  <dcterms:modified xsi:type="dcterms:W3CDTF">2025-12-23T00:39:09Z</dcterms:modified>
</cp:coreProperties>
</file>